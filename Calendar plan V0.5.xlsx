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Амир\Desktop\diplomaproject\"/>
    </mc:Choice>
  </mc:AlternateContent>
  <xr:revisionPtr revIDLastSave="0" documentId="13_ncr:1_{C8E500A7-27E5-41E2-B5C6-AEEBDCDE7AB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8" i="1" l="1"/>
  <c r="D18" i="1"/>
  <c r="E17" i="1"/>
  <c r="D16" i="1"/>
  <c r="D15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<sst xmlns="http://schemas.openxmlformats.org/spreadsheetml/2006/main" count="45" uniqueCount="35">
  <si>
    <t>№</t>
  </si>
  <si>
    <t>Tasks</t>
  </si>
  <si>
    <t>Members</t>
  </si>
  <si>
    <t>Start Time</t>
  </si>
  <si>
    <t>End time</t>
  </si>
  <si>
    <t>Designations</t>
  </si>
  <si>
    <t>Problem Analysis and gathering information</t>
  </si>
  <si>
    <t>Achived</t>
  </si>
  <si>
    <t>In Progress</t>
  </si>
  <si>
    <t>Rejected</t>
  </si>
  <si>
    <t>In the plan</t>
  </si>
  <si>
    <t>UML model of our project</t>
  </si>
  <si>
    <t xml:space="preserve">Database design </t>
  </si>
  <si>
    <t>Database creation</t>
  </si>
  <si>
    <t>Back-end: Registration and login system</t>
  </si>
  <si>
    <t>Back-end: User profile and User capabilities</t>
  </si>
  <si>
    <t xml:space="preserve">Front-end: UX analysis </t>
  </si>
  <si>
    <t xml:space="preserve">Front-end: UI design </t>
  </si>
  <si>
    <t>Front-end: GUI implementation</t>
  </si>
  <si>
    <t>Testing and debugging</t>
  </si>
  <si>
    <t xml:space="preserve"> Nukenov Anuar, Assylzhan Balatursyn</t>
  </si>
  <si>
    <t>Nukenov Anuar, Assylzhan Balatursyn</t>
  </si>
  <si>
    <t>Zholbaryskhan Shorakhan</t>
  </si>
  <si>
    <t>Optimizing database queries</t>
  </si>
  <si>
    <t>Erbosyn Azamat</t>
  </si>
  <si>
    <t>Back-end: Create order functional</t>
  </si>
  <si>
    <t>Nukenov Anuar</t>
  </si>
  <si>
    <t>Assylzhan Balatursyn</t>
  </si>
  <si>
    <t>Back-end: Share Registry system</t>
  </si>
  <si>
    <t>Back-end: Integration with Registry</t>
  </si>
  <si>
    <t>Back-end: Refactoring</t>
  </si>
  <si>
    <t>Back-end: Swagger for testing REST-API</t>
  </si>
  <si>
    <t>Dev-ops containerizing services and using docker</t>
  </si>
  <si>
    <t>07/0321</t>
  </si>
  <si>
    <t>Nukenov Anuar, Assylzhan Balatursyn, Shorakhan Zholbaryskhan, Erbosyn Azamat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</si>
</sst>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"/>
  </numFmts>
  <fonts count="8" x14ac:knownFonts="1">
    <font>
      <sz val="10"/>
      <color rgb="FF000000"/>
      <name val="Arial"/>
    </font>
    <font>
      <sz val="14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2"/>
      <color theme="1"/>
      <name val="Arial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57BB8A"/>
        <bgColor rgb="FF57BB8A"/>
      </patternFill>
    </fill>
    <fill>
      <patternFill patternType="solid">
        <fgColor rgb="FFFF0000"/>
        <bgColor rgb="FFFF0000"/>
      </patternFill>
    </fill>
    <fill>
      <patternFill patternType="solid">
        <fgColor rgb="FFFFD666"/>
        <bgColor rgb="FFFFD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6" borderId="1" xfId="0" applyFont="1" applyFill="1" applyBorder="1" applyAlignment="1"/>
    <xf numFmtId="0" fontId="3" fillId="7" borderId="0" xfId="0" applyFont="1" applyFill="1" applyAlignment="1"/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3" fillId="3" borderId="0" xfId="0" applyFont="1" applyFill="1" applyAlignment="1"/>
    <xf numFmtId="0" fontId="6" fillId="7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"/>
  <sheetViews>
    <sheetView tabSelected="1" zoomScale="55" zoomScaleNormal="55" workbookViewId="0">
      <selection activeCell="C3" sqref="C3"/>
    </sheetView>
  </sheetViews>
  <sheetFormatPr defaultColWidth="14.42578125" defaultRowHeight="15.75" customHeight="1" x14ac:dyDescent="0.2"/>
  <cols>
    <col min="1" max="1" width="4.5703125" customWidth="1"/>
    <col min="2" max="2" width="58" customWidth="1"/>
    <col min="3" max="3" width="32.28515625" customWidth="1"/>
    <col min="4" max="4" width="16.42578125" customWidth="1"/>
    <col min="5" max="5" width="21" customWidth="1"/>
    <col min="6" max="6" width="30.28515625" customWidth="1"/>
    <col min="7" max="7" width="26.28515625" customWidth="1"/>
    <col min="8" max="8" width="24.85546875" customWidth="1"/>
    <col min="9" max="9" width="23.28515625" customWidth="1"/>
    <col min="10" max="10" width="3" customWidth="1"/>
    <col min="11" max="11" width="9.85546875" customWidth="1"/>
    <col min="12" max="12" width="11.5703125" customWidth="1"/>
    <col min="13" max="13" width="9.7109375" customWidth="1"/>
    <col min="14" max="14" width="10.28515625" customWidth="1"/>
  </cols>
  <sheetData>
    <row r="1" spans="1:14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3"/>
      <c r="K1" s="24" t="s">
        <v>5</v>
      </c>
      <c r="L1" s="25"/>
      <c r="M1" s="25"/>
      <c r="N1" s="26"/>
    </row>
    <row r="2" spans="1:14" ht="46.5" customHeight="1" x14ac:dyDescent="0.2">
      <c r="A2" s="4">
        <v>1</v>
      </c>
      <c r="B2" s="5" t="s">
        <v>6</v>
      </c>
      <c r="C2" s="6" t="s">
        <v>20</v>
      </c>
      <c r="D2" s="7">
        <f>DATE(2020,10,5)</f>
        <v>44109</v>
      </c>
      <c r="E2" s="7">
        <f>DATE(2020,10,31)</f>
        <v>44135</v>
      </c>
      <c r="F2" s="8"/>
      <c r="G2" s="9"/>
      <c r="H2" s="8"/>
      <c r="I2" s="8"/>
      <c r="J2" s="3"/>
      <c r="K2" s="10" t="s">
        <v>7</v>
      </c>
      <c r="L2" s="11" t="s">
        <v>8</v>
      </c>
      <c r="M2" s="12" t="s">
        <v>9</v>
      </c>
      <c r="N2" s="13" t="s">
        <v>10</v>
      </c>
    </row>
    <row r="3" spans="1:14" ht="96" customHeight="1" x14ac:dyDescent="0.2">
      <c r="A3" s="4">
        <v>2</v>
      </c>
      <c r="B3" s="14" t="s">
        <v>11</v>
      </c>
      <c r="C3" s="6" t="s">
        <v>21</v>
      </c>
      <c r="D3" s="7">
        <f>DATE(2020,11,1)</f>
        <v>44136</v>
      </c>
      <c r="E3" s="7">
        <f>DATE(2020,11,30)</f>
        <v>44165</v>
      </c>
      <c r="F3" s="15"/>
      <c r="G3" s="9"/>
      <c r="H3" s="15"/>
      <c r="I3" s="9"/>
      <c r="J3" s="3"/>
    </row>
    <row r="4" spans="1:14" ht="78" customHeight="1" x14ac:dyDescent="0.2">
      <c r="A4" s="4">
        <v>3</v>
      </c>
      <c r="B4" s="14" t="s">
        <v>12</v>
      </c>
      <c r="C4" s="16" t="s">
        <v>22</v>
      </c>
      <c r="D4" s="7">
        <f>DATE(2020,12,1)</f>
        <v>44166</v>
      </c>
      <c r="E4" s="7">
        <f>DATE(2020,12,6)</f>
        <v>44171</v>
      </c>
      <c r="F4" s="9"/>
      <c r="G4" s="15"/>
      <c r="H4" s="9"/>
      <c r="I4" s="15"/>
      <c r="J4" s="3"/>
      <c r="K4" s="17"/>
    </row>
    <row r="5" spans="1:14" ht="49.5" customHeight="1" x14ac:dyDescent="0.2">
      <c r="A5" s="4">
        <v>4</v>
      </c>
      <c r="B5" s="18" t="s">
        <v>13</v>
      </c>
      <c r="C5" s="16" t="s">
        <v>22</v>
      </c>
      <c r="D5" s="7">
        <f>DATE(2020,12,7)</f>
        <v>44172</v>
      </c>
      <c r="E5" s="7">
        <f>DATE(2020,12,18)</f>
        <v>44183</v>
      </c>
      <c r="F5" s="15"/>
      <c r="G5" s="9"/>
      <c r="H5" s="9"/>
      <c r="I5" s="9"/>
      <c r="J5" s="3"/>
    </row>
    <row r="6" spans="1:14" ht="44.25" customHeight="1" x14ac:dyDescent="0.2">
      <c r="A6" s="4">
        <v>5</v>
      </c>
      <c r="B6" s="20" t="s">
        <v>23</v>
      </c>
      <c r="C6" s="22" t="s">
        <v>24</v>
      </c>
      <c r="D6" s="7">
        <f>DATE(2020,12,19)</f>
        <v>44184</v>
      </c>
      <c r="E6" s="7">
        <f>DATE(2020,12,29)</f>
        <v>44194</v>
      </c>
      <c r="F6" s="9"/>
      <c r="G6" s="15"/>
      <c r="H6" s="9"/>
      <c r="I6" s="9"/>
      <c r="J6" s="3"/>
    </row>
    <row r="7" spans="1:14" ht="48.75" customHeight="1" x14ac:dyDescent="0.2">
      <c r="A7" s="4">
        <v>6</v>
      </c>
      <c r="B7" s="14" t="s">
        <v>25</v>
      </c>
      <c r="C7" s="6" t="s">
        <v>26</v>
      </c>
      <c r="D7" s="7">
        <f t="shared" ref="D7:D8" si="0">DATE(2021,1,4)</f>
        <v>44200</v>
      </c>
      <c r="E7" s="7">
        <f>DATE(2021,1,18)</f>
        <v>44214</v>
      </c>
      <c r="F7" s="15"/>
      <c r="G7" s="9"/>
      <c r="H7" s="19"/>
      <c r="I7" s="9"/>
      <c r="J7" s="3"/>
    </row>
    <row r="8" spans="1:14" ht="59.25" customHeight="1" x14ac:dyDescent="0.2">
      <c r="A8" s="4">
        <v>7</v>
      </c>
      <c r="B8" s="14" t="s">
        <v>14</v>
      </c>
      <c r="C8" s="16" t="s">
        <v>22</v>
      </c>
      <c r="D8" s="7">
        <f t="shared" si="0"/>
        <v>44200</v>
      </c>
      <c r="E8" s="7">
        <f>DATE(2021,1,24)</f>
        <v>44220</v>
      </c>
      <c r="F8" s="9"/>
      <c r="G8" s="9"/>
      <c r="H8" s="19"/>
      <c r="I8" s="15"/>
      <c r="J8" s="3"/>
    </row>
    <row r="9" spans="1:14" ht="62.25" customHeight="1" x14ac:dyDescent="0.2">
      <c r="A9" s="4">
        <v>8</v>
      </c>
      <c r="B9" s="14" t="s">
        <v>15</v>
      </c>
      <c r="C9" s="16" t="s">
        <v>27</v>
      </c>
      <c r="D9" s="7">
        <f>DATE(2021,1,24)</f>
        <v>44220</v>
      </c>
      <c r="E9" s="7">
        <f t="shared" ref="E9:E10" si="1">DATE(2021,2,7)</f>
        <v>44234</v>
      </c>
      <c r="F9" s="9"/>
      <c r="G9" s="9"/>
      <c r="H9" s="19"/>
      <c r="I9" s="15"/>
      <c r="J9" s="3"/>
    </row>
    <row r="10" spans="1:14" ht="48.75" customHeight="1" x14ac:dyDescent="0.2">
      <c r="A10" s="4">
        <v>9</v>
      </c>
      <c r="B10" s="14" t="s">
        <v>28</v>
      </c>
      <c r="C10" s="6" t="s">
        <v>24</v>
      </c>
      <c r="D10" s="7">
        <f>DATE(2021,1,19)</f>
        <v>44215</v>
      </c>
      <c r="E10" s="7">
        <f t="shared" si="1"/>
        <v>44234</v>
      </c>
      <c r="F10" s="9"/>
      <c r="G10" s="9"/>
      <c r="H10" s="19"/>
      <c r="I10" s="15"/>
      <c r="J10" s="3"/>
    </row>
    <row r="11" spans="1:14" ht="81" customHeight="1" x14ac:dyDescent="0.2">
      <c r="A11" s="4">
        <v>10</v>
      </c>
      <c r="B11" s="14" t="s">
        <v>29</v>
      </c>
      <c r="C11" s="21" t="s">
        <v>24</v>
      </c>
      <c r="D11" s="7">
        <f t="shared" ref="D11:D12" si="2">DATE(2021,2,8)</f>
        <v>44235</v>
      </c>
      <c r="E11" s="7">
        <f t="shared" ref="E11:E12" si="3">DATE(2021,2,21)</f>
        <v>44248</v>
      </c>
      <c r="F11" s="9"/>
      <c r="G11" s="9"/>
      <c r="H11" s="19"/>
      <c r="I11" s="9"/>
      <c r="J11" s="3"/>
    </row>
    <row r="12" spans="1:14" ht="99" customHeight="1" x14ac:dyDescent="0.2">
      <c r="A12" s="4">
        <v>11</v>
      </c>
      <c r="B12" s="14" t="s">
        <v>30</v>
      </c>
      <c r="C12" s="16" t="s">
        <v>22</v>
      </c>
      <c r="D12" s="7">
        <f t="shared" si="2"/>
        <v>44235</v>
      </c>
      <c r="E12" s="7">
        <f t="shared" si="3"/>
        <v>44248</v>
      </c>
      <c r="F12" s="9"/>
      <c r="G12" s="9"/>
      <c r="H12" s="19"/>
      <c r="I12" s="9"/>
      <c r="J12" s="3"/>
    </row>
    <row r="13" spans="1:14" ht="97.5" customHeight="1" x14ac:dyDescent="0.2">
      <c r="A13" s="4">
        <v>12</v>
      </c>
      <c r="B13" s="14" t="s">
        <v>31</v>
      </c>
      <c r="C13" s="21" t="s">
        <v>26</v>
      </c>
      <c r="D13" s="7">
        <f>DATE(2021,2,21)</f>
        <v>44248</v>
      </c>
      <c r="E13" s="7">
        <f>DATE(2021,3,7)</f>
        <v>44262</v>
      </c>
      <c r="F13" s="9"/>
      <c r="G13" s="9"/>
      <c r="H13" s="19"/>
      <c r="I13" s="19"/>
      <c r="J13" s="3"/>
    </row>
    <row r="14" spans="1:14" ht="57.75" customHeight="1" x14ac:dyDescent="0.2">
      <c r="A14" s="4">
        <v>13</v>
      </c>
      <c r="B14" s="20" t="s">
        <v>32</v>
      </c>
      <c r="C14" s="16" t="s">
        <v>27</v>
      </c>
      <c r="D14" s="7" t="s">
        <v>33</v>
      </c>
      <c r="E14" s="7">
        <v>44277</v>
      </c>
      <c r="F14" s="22"/>
      <c r="G14" s="22"/>
      <c r="H14" s="22"/>
      <c r="I14" s="22"/>
      <c r="J14" s="3"/>
    </row>
    <row r="15" spans="1:14" ht="64.5" customHeight="1" x14ac:dyDescent="0.2">
      <c r="A15" s="4">
        <v>14</v>
      </c>
      <c r="B15" s="18" t="s">
        <v>16</v>
      </c>
      <c r="C15" s="16" t="s">
        <v>22</v>
      </c>
      <c r="D15" s="7">
        <f>DATE(2021,3,22)</f>
        <v>44277</v>
      </c>
      <c r="E15" s="23">
        <v>44283</v>
      </c>
      <c r="F15" s="9"/>
      <c r="G15" s="9"/>
      <c r="H15" s="9"/>
      <c r="I15" s="19"/>
      <c r="J15" s="3"/>
    </row>
    <row r="16" spans="1:14" ht="51" customHeight="1" x14ac:dyDescent="0.2">
      <c r="A16" s="4">
        <v>15</v>
      </c>
      <c r="B16" s="18" t="s">
        <v>17</v>
      </c>
      <c r="C16" s="16" t="s">
        <v>22</v>
      </c>
      <c r="D16" s="7">
        <f>DATE(2021,3,29)</f>
        <v>44284</v>
      </c>
      <c r="E16" s="23">
        <v>44290</v>
      </c>
      <c r="F16" s="9"/>
      <c r="G16" s="9"/>
      <c r="H16" s="9"/>
      <c r="I16" s="19"/>
      <c r="J16" s="3"/>
    </row>
    <row r="17" spans="1:10" ht="36" customHeight="1" x14ac:dyDescent="0.2">
      <c r="A17" s="4">
        <v>16</v>
      </c>
      <c r="B17" s="18" t="s">
        <v>18</v>
      </c>
      <c r="C17" s="22" t="s">
        <v>24</v>
      </c>
      <c r="D17" s="23">
        <v>44320</v>
      </c>
      <c r="E17" s="7">
        <f>DATE(2021,4,18)</f>
        <v>44304</v>
      </c>
      <c r="F17" s="9"/>
      <c r="G17" s="9"/>
      <c r="H17" s="9"/>
      <c r="I17" s="19"/>
      <c r="J17" s="3"/>
    </row>
    <row r="18" spans="1:10" ht="37.5" customHeight="1" x14ac:dyDescent="0.2">
      <c r="A18" s="4">
        <v>17</v>
      </c>
      <c r="B18" s="18" t="s">
        <v>19</v>
      </c>
      <c r="C18" s="6" t="s">
        <v>34</v>
      </c>
      <c r="D18" s="7">
        <f>DATE(2021,4,19)</f>
        <v>44305</v>
      </c>
      <c r="E18" s="7">
        <f>DATE(2021,5,31)</f>
        <v>44347</v>
      </c>
      <c r="F18" s="9"/>
      <c r="G18" s="9"/>
      <c r="H18" s="9"/>
      <c r="I18" s="19"/>
      <c r="J18" s="3"/>
    </row>
    <row r="19" spans="1:10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</sheetData>
  <mergeCells count="1">
    <mergeCell ref="K1:N1"/>
  </mergeCells>
  <conditionalFormatting sqref="B2:B4">
    <cfRule type="colorScale" priority="1">
      <colorScale>
        <cfvo type="min"/>
        <cfvo type="max"/>
        <color rgb="FF57BB8A"/>
        <color rgb="FFFFFFFF"/>
      </colorScale>
    </cfRule>
  </conditionalFormatting>
  <conditionalFormatting sqref="E3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Амир Шотаев</cp:lastModifiedBy>
  <dcterms:modified xsi:type="dcterms:W3CDTF">2020-10-06T16:36:36Z</dcterms:modified>
</cp:coreProperties>
</file>